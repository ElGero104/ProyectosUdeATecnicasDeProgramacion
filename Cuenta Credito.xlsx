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tedra\UdeA\Tecnicas de programación\Documentos Curso\"/>
    </mc:Choice>
  </mc:AlternateContent>
  <xr:revisionPtr revIDLastSave="0" documentId="13_ncr:1_{7190A4D8-C29D-4856-9738-E49E065732E5}" xr6:coauthVersionLast="47" xr6:coauthVersionMax="47" xr10:uidLastSave="{00000000-0000-0000-0000-000000000000}"/>
  <bookViews>
    <workbookView xWindow="-120" yWindow="-120" windowWidth="20730" windowHeight="11160" xr2:uid="{9FA1B84B-D832-4B2A-A9D0-0A60017F2C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1" l="1"/>
  <c r="B9" i="1" s="1"/>
  <c r="E187" i="1"/>
  <c r="E7" i="1"/>
  <c r="B4" i="1"/>
  <c r="D7" i="1" s="1"/>
  <c r="F7" i="1" s="1"/>
  <c r="B7" i="1"/>
  <c r="I7" i="1" l="1"/>
  <c r="E8" i="1"/>
  <c r="G7" i="1"/>
  <c r="D8" i="1" l="1"/>
  <c r="F8" i="1" l="1"/>
  <c r="G8" i="1" s="1"/>
  <c r="I8" i="1"/>
  <c r="E9" i="1" l="1"/>
  <c r="D9" i="1" l="1"/>
  <c r="F9" i="1" s="1"/>
  <c r="E10" i="1" s="1"/>
  <c r="D10" i="1" s="1"/>
  <c r="I9" i="1" l="1"/>
  <c r="F10" i="1"/>
  <c r="I10" i="1"/>
  <c r="G9" i="1"/>
  <c r="E11" i="1" l="1"/>
  <c r="D11" i="1" s="1"/>
  <c r="G10" i="1"/>
  <c r="F11" i="1" l="1"/>
  <c r="I11" i="1"/>
  <c r="E12" i="1" l="1"/>
  <c r="D12" i="1" s="1"/>
  <c r="G11" i="1"/>
  <c r="F12" i="1" l="1"/>
  <c r="I12" i="1"/>
  <c r="G12" i="1" l="1"/>
  <c r="E13" i="1"/>
  <c r="D13" i="1" s="1"/>
  <c r="F13" i="1" l="1"/>
  <c r="I13" i="1"/>
  <c r="G13" i="1" l="1"/>
  <c r="E14" i="1"/>
  <c r="D14" i="1" s="1"/>
  <c r="F14" i="1" l="1"/>
  <c r="I14" i="1"/>
  <c r="G14" i="1" l="1"/>
  <c r="E15" i="1"/>
  <c r="D15" i="1" s="1"/>
  <c r="F15" i="1" l="1"/>
  <c r="I15" i="1"/>
  <c r="G15" i="1" l="1"/>
  <c r="E16" i="1"/>
  <c r="D16" i="1" s="1"/>
  <c r="F16" i="1" l="1"/>
  <c r="I16" i="1"/>
  <c r="G16" i="1" l="1"/>
  <c r="E17" i="1"/>
  <c r="D17" i="1" s="1"/>
  <c r="F17" i="1" l="1"/>
  <c r="I17" i="1"/>
  <c r="G17" i="1" l="1"/>
  <c r="E18" i="1"/>
  <c r="D18" i="1" s="1"/>
  <c r="F18" i="1" l="1"/>
  <c r="I18" i="1"/>
  <c r="E19" i="1" l="1"/>
  <c r="D19" i="1" s="1"/>
  <c r="G18" i="1"/>
  <c r="F19" i="1" l="1"/>
  <c r="I19" i="1"/>
  <c r="E20" i="1" l="1"/>
  <c r="D20" i="1" s="1"/>
  <c r="G19" i="1"/>
  <c r="F20" i="1" l="1"/>
  <c r="I20" i="1"/>
  <c r="G20" i="1" l="1"/>
  <c r="E21" i="1"/>
  <c r="D21" i="1" s="1"/>
  <c r="F21" i="1" l="1"/>
  <c r="I21" i="1"/>
  <c r="G21" i="1" l="1"/>
  <c r="E22" i="1"/>
  <c r="D22" i="1" s="1"/>
  <c r="F22" i="1" l="1"/>
  <c r="I22" i="1"/>
  <c r="E23" i="1" l="1"/>
  <c r="D23" i="1" s="1"/>
  <c r="G22" i="1"/>
  <c r="F23" i="1" l="1"/>
  <c r="I23" i="1"/>
  <c r="G23" i="1" l="1"/>
  <c r="E24" i="1"/>
  <c r="D24" i="1" s="1"/>
  <c r="F24" i="1" l="1"/>
  <c r="I24" i="1"/>
  <c r="E25" i="1" l="1"/>
  <c r="D25" i="1" s="1"/>
  <c r="G24" i="1"/>
  <c r="F25" i="1" l="1"/>
  <c r="I25" i="1"/>
  <c r="E26" i="1" l="1"/>
  <c r="D26" i="1" s="1"/>
  <c r="G25" i="1"/>
  <c r="F26" i="1" l="1"/>
  <c r="I26" i="1"/>
  <c r="G26" i="1" l="1"/>
  <c r="E27" i="1"/>
  <c r="D27" i="1" s="1"/>
  <c r="F27" i="1" l="1"/>
  <c r="I27" i="1"/>
  <c r="G27" i="1" l="1"/>
  <c r="E28" i="1"/>
  <c r="D28" i="1" s="1"/>
  <c r="F28" i="1" l="1"/>
  <c r="I28" i="1"/>
  <c r="E29" i="1" l="1"/>
  <c r="D29" i="1" s="1"/>
  <c r="G28" i="1"/>
  <c r="F29" i="1" l="1"/>
  <c r="I29" i="1"/>
  <c r="E30" i="1" l="1"/>
  <c r="G29" i="1"/>
  <c r="D30" i="1" l="1"/>
  <c r="F30" i="1" l="1"/>
  <c r="I30" i="1"/>
  <c r="G30" i="1" l="1"/>
  <c r="E31" i="1"/>
  <c r="D31" i="1" s="1"/>
  <c r="I31" i="1" s="1"/>
  <c r="F31" i="1" l="1"/>
  <c r="G31" i="1" s="1"/>
  <c r="E32" i="1" l="1"/>
  <c r="D32" i="1" s="1"/>
  <c r="I32" i="1" s="1"/>
  <c r="F32" i="1" l="1"/>
  <c r="E33" i="1" s="1"/>
  <c r="D33" i="1" s="1"/>
  <c r="I33" i="1" s="1"/>
  <c r="G32" i="1" l="1"/>
  <c r="F33" i="1"/>
  <c r="G33" i="1" s="1"/>
  <c r="E34" i="1" l="1"/>
  <c r="D34" i="1" s="1"/>
  <c r="I34" i="1" s="1"/>
  <c r="F34" i="1" l="1"/>
  <c r="E35" i="1" s="1"/>
  <c r="D35" i="1" s="1"/>
  <c r="I35" i="1" s="1"/>
  <c r="F35" i="1" l="1"/>
  <c r="E36" i="1" s="1"/>
  <c r="D36" i="1" s="1"/>
  <c r="I36" i="1" s="1"/>
  <c r="G34" i="1"/>
  <c r="G35" i="1"/>
  <c r="F36" i="1" l="1"/>
  <c r="E37" i="1" l="1"/>
  <c r="D37" i="1" s="1"/>
  <c r="I37" i="1" s="1"/>
  <c r="G36" i="1"/>
  <c r="F37" i="1" l="1"/>
  <c r="E38" i="1" l="1"/>
  <c r="D38" i="1" s="1"/>
  <c r="I38" i="1" s="1"/>
  <c r="G37" i="1"/>
  <c r="F38" i="1" l="1"/>
  <c r="G38" i="1" s="1"/>
  <c r="E39" i="1" l="1"/>
  <c r="D39" i="1" s="1"/>
  <c r="I39" i="1" s="1"/>
  <c r="F39" i="1" l="1"/>
  <c r="G39" i="1" s="1"/>
  <c r="E40" i="1" l="1"/>
  <c r="D40" i="1" s="1"/>
  <c r="I40" i="1" s="1"/>
  <c r="F40" i="1" l="1"/>
  <c r="E41" i="1" l="1"/>
  <c r="G40" i="1"/>
  <c r="D41" i="1" l="1"/>
  <c r="I41" i="1" l="1"/>
  <c r="F41" i="1"/>
  <c r="G41" i="1" l="1"/>
  <c r="E42" i="1"/>
  <c r="D42" i="1" l="1"/>
  <c r="I42" i="1" l="1"/>
  <c r="F42" i="1"/>
  <c r="G42" i="1" l="1"/>
  <c r="E43" i="1"/>
  <c r="D43" i="1" s="1"/>
  <c r="I43" i="1" s="1"/>
  <c r="F43" i="1" l="1"/>
  <c r="G43" i="1" l="1"/>
  <c r="E44" i="1"/>
  <c r="D44" i="1" s="1"/>
  <c r="I44" i="1" s="1"/>
  <c r="F44" i="1" l="1"/>
  <c r="E45" i="1" l="1"/>
  <c r="D45" i="1" s="1"/>
  <c r="I45" i="1" s="1"/>
  <c r="G44" i="1"/>
  <c r="F45" i="1" l="1"/>
  <c r="G45" i="1" l="1"/>
  <c r="E46" i="1"/>
  <c r="D46" i="1" s="1"/>
  <c r="I46" i="1" s="1"/>
  <c r="F46" i="1" l="1"/>
  <c r="E47" i="1" l="1"/>
  <c r="D47" i="1" s="1"/>
  <c r="I47" i="1" s="1"/>
  <c r="G46" i="1"/>
  <c r="F47" i="1" l="1"/>
  <c r="G47" i="1" l="1"/>
  <c r="E48" i="1"/>
  <c r="D48" i="1" s="1"/>
  <c r="I48" i="1" s="1"/>
  <c r="F48" i="1" l="1"/>
  <c r="G48" i="1" l="1"/>
  <c r="E49" i="1"/>
  <c r="D49" i="1" s="1"/>
  <c r="I49" i="1" s="1"/>
  <c r="F49" i="1" l="1"/>
  <c r="E50" i="1" l="1"/>
  <c r="D50" i="1" s="1"/>
  <c r="I50" i="1" s="1"/>
  <c r="G49" i="1"/>
  <c r="F50" i="1" l="1"/>
  <c r="E51" i="1" s="1"/>
  <c r="D51" i="1" s="1"/>
  <c r="I51" i="1" s="1"/>
  <c r="G50" i="1"/>
  <c r="F51" i="1" l="1"/>
  <c r="E52" i="1" s="1"/>
  <c r="D52" i="1" s="1"/>
  <c r="I52" i="1" s="1"/>
  <c r="G51" i="1"/>
  <c r="F52" i="1" l="1"/>
  <c r="G52" i="1" l="1"/>
  <c r="E53" i="1"/>
  <c r="D53" i="1" s="1"/>
  <c r="I53" i="1" s="1"/>
  <c r="F53" i="1" l="1"/>
  <c r="E54" i="1" l="1"/>
  <c r="D54" i="1" s="1"/>
  <c r="I54" i="1" s="1"/>
  <c r="G53" i="1"/>
  <c r="F54" i="1" l="1"/>
  <c r="G54" i="1" s="1"/>
  <c r="I187" i="1" l="1"/>
</calcChain>
</file>

<file path=xl/sharedStrings.xml><?xml version="1.0" encoding="utf-8"?>
<sst xmlns="http://schemas.openxmlformats.org/spreadsheetml/2006/main" count="12" uniqueCount="12">
  <si>
    <t>ValorPrestado</t>
  </si>
  <si>
    <t>Retiros</t>
  </si>
  <si>
    <t>Tasa</t>
  </si>
  <si>
    <t>Plazo</t>
  </si>
  <si>
    <t>Valor</t>
  </si>
  <si>
    <t>Cuota</t>
  </si>
  <si>
    <t>Abono Capital</t>
  </si>
  <si>
    <t>Intereses</t>
  </si>
  <si>
    <t>Pagos</t>
  </si>
  <si>
    <t>Saldo Banco</t>
  </si>
  <si>
    <t>Saldo Deuda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</si>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</sst>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_-;\-&quot;$&quot;* #,##0_-;_-&quot;$&quot;* &quot;-&quot;??_-;_-@_-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2" applyNumberFormat="1" applyFont="1"/>
    <xf numFmtId="165" fontId="0" fillId="0" borderId="0" xfId="0" applyNumberFormat="1"/>
    <xf numFmtId="164" fontId="0" fillId="0" borderId="0" xfId="0" applyNumberFormat="1"/>
    <xf numFmtId="44" fontId="0" fillId="0" borderId="0" xfId="0" applyNumberFormat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5" borderId="0" xfId="0" applyFill="1"/>
    <xf numFmtId="164" fontId="2" fillId="6" borderId="0" xfId="1" applyNumberFormat="1" applyFont="1" applyFill="1"/>
    <xf numFmtId="166" fontId="2" fillId="6" borderId="0" xfId="0" applyNumberFormat="1" applyFont="1" applyFill="1"/>
    <xf numFmtId="0" fontId="2" fillId="6" borderId="0" xfId="0" applyFont="1" applyFill="1"/>
    <xf numFmtId="6" fontId="2" fillId="0" borderId="0" xfId="0" applyNumberFormat="1" applyFont="1"/>
    <xf numFmtId="0" fontId="3" fillId="2" borderId="0" xfId="0" applyFont="1" applyFill="1" applyAlignment="1">
      <alignment horizontal="center"/>
    </xf>
    <xf numFmtId="0" fontId="2" fillId="7" borderId="0" xfId="0" applyFon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A13B-7241-48AA-B2D0-808FBCB3E71A}">
  <dimension ref="A1:I187"/>
  <sheetViews>
    <sheetView tabSelected="1" zoomScale="130" zoomScaleNormal="13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B9" sqref="B9"/>
    </sheetView>
  </sheetViews>
  <sheetFormatPr baseColWidth="10" defaultRowHeight="15" x14ac:dyDescent="0.25"/>
  <cols>
    <col min="1" max="1" width="15.140625" bestFit="1" customWidth="1"/>
    <col min="2" max="2" width="14.140625" bestFit="1" customWidth="1"/>
    <col min="4" max="4" width="12.85546875" bestFit="1" customWidth="1"/>
    <col min="5" max="6" width="14.42578125" bestFit="1" customWidth="1"/>
    <col min="7" max="7" width="17.140625" bestFit="1" customWidth="1"/>
    <col min="9" max="9" width="14.42578125" bestFit="1" customWidth="1"/>
  </cols>
  <sheetData>
    <row r="1" spans="1:9" x14ac:dyDescent="0.25">
      <c r="A1" s="7" t="s">
        <v>0</v>
      </c>
      <c r="B1" s="8">
        <v>50000000</v>
      </c>
    </row>
    <row r="2" spans="1:9" x14ac:dyDescent="0.25">
      <c r="A2" s="7" t="s">
        <v>2</v>
      </c>
      <c r="B2" s="9">
        <v>2.5000000000000001E-2</v>
      </c>
    </row>
    <row r="3" spans="1:9" x14ac:dyDescent="0.25">
      <c r="A3" s="7" t="s">
        <v>3</v>
      </c>
      <c r="B3" s="10">
        <v>48</v>
      </c>
    </row>
    <row r="4" spans="1:9" x14ac:dyDescent="0.25">
      <c r="A4" t="s">
        <v>5</v>
      </c>
      <c r="B4" s="11">
        <f>B1*(1+B2)^B3*B2/((1+B2)^B3-1)</f>
        <v>1800299.6895210922</v>
      </c>
      <c r="C4" s="3"/>
    </row>
    <row r="5" spans="1:9" x14ac:dyDescent="0.25">
      <c r="A5" s="12" t="s">
        <v>1</v>
      </c>
      <c r="B5" s="12"/>
      <c r="D5" s="12" t="s">
        <v>8</v>
      </c>
      <c r="E5" s="12"/>
      <c r="F5" s="12"/>
    </row>
    <row r="6" spans="1:9" x14ac:dyDescent="0.25">
      <c r="A6" s="5" t="s">
        <v>4</v>
      </c>
      <c r="B6" s="5" t="s">
        <v>11</v>
      </c>
      <c r="D6" s="6" t="s">
        <v>6</v>
      </c>
      <c r="E6" s="6" t="s">
        <v>7</v>
      </c>
      <c r="F6" s="6" t="s">
        <v>10</v>
      </c>
      <c r="G6" s="6" t="s">
        <v>9</v>
      </c>
    </row>
    <row r="7" spans="1:9" x14ac:dyDescent="0.25">
      <c r="A7" s="1">
        <v>20000000</v>
      </c>
      <c r="B7" s="2">
        <f>+B1-A7</f>
        <v>30000000</v>
      </c>
      <c r="C7" s="13">
        <v>1</v>
      </c>
      <c r="D7" s="2">
        <f>+$B$4-E7</f>
        <v>550299.68952109222</v>
      </c>
      <c r="E7" s="1">
        <f>+B1*B2</f>
        <v>1250000</v>
      </c>
      <c r="F7" s="2">
        <f>+B1-D7</f>
        <v>49449700.310478911</v>
      </c>
      <c r="G7" s="4">
        <f>+$B$1-F7</f>
        <v>550299.6895210892</v>
      </c>
      <c r="I7" s="2">
        <f>+D7+E7</f>
        <v>1800299.6895210922</v>
      </c>
    </row>
    <row r="8" spans="1:9" x14ac:dyDescent="0.25">
      <c r="A8" s="1">
        <v>20000000</v>
      </c>
      <c r="B8" s="2">
        <f>+B7-A8</f>
        <v>10000000</v>
      </c>
      <c r="C8" s="13">
        <v>2</v>
      </c>
      <c r="D8" s="2">
        <f>+$B$4-E8</f>
        <v>564057.1817591195</v>
      </c>
      <c r="E8" s="1">
        <f>+F7*$B$2</f>
        <v>1236242.5077619727</v>
      </c>
      <c r="F8" s="2">
        <f>+F7-D8</f>
        <v>48885643.128719792</v>
      </c>
      <c r="G8" s="4">
        <f t="shared" ref="G8:G30" si="0">+$B$1-F8</f>
        <v>1114356.8712802082</v>
      </c>
      <c r="I8" s="2">
        <f t="shared" ref="I8:I30" si="1">+D8+E8</f>
        <v>1800299.6895210922</v>
      </c>
    </row>
    <row r="9" spans="1:9" x14ac:dyDescent="0.25">
      <c r="A9" s="1">
        <v>10000000</v>
      </c>
      <c r="B9" s="2">
        <f>+B8-A9</f>
        <v>0</v>
      </c>
      <c r="C9" s="13">
        <v>3</v>
      </c>
      <c r="D9" s="2">
        <f t="shared" ref="D9:D30" si="2">+$B$4-E9</f>
        <v>578158.61130309734</v>
      </c>
      <c r="E9" s="1">
        <f t="shared" ref="E9:E30" si="3">+F8*$B$2</f>
        <v>1222141.0782179949</v>
      </c>
      <c r="F9" s="2">
        <f t="shared" ref="F9:F25" si="4">+F8-D9</f>
        <v>48307484.517416693</v>
      </c>
      <c r="G9" s="4">
        <f t="shared" si="0"/>
        <v>1692515.4825833067</v>
      </c>
      <c r="I9" s="2">
        <f t="shared" si="1"/>
        <v>1800299.6895210922</v>
      </c>
    </row>
    <row r="10" spans="1:9" x14ac:dyDescent="0.25">
      <c r="A10" s="1"/>
      <c r="B10" s="2"/>
      <c r="C10" s="13">
        <v>4</v>
      </c>
      <c r="D10" s="2">
        <f t="shared" si="2"/>
        <v>592612.57658567489</v>
      </c>
      <c r="E10" s="1">
        <f t="shared" si="3"/>
        <v>1207687.1129354173</v>
      </c>
      <c r="F10" s="2">
        <f t="shared" si="4"/>
        <v>47714871.94083102</v>
      </c>
      <c r="G10" s="4">
        <f t="shared" si="0"/>
        <v>2285128.0591689795</v>
      </c>
      <c r="I10" s="2">
        <f t="shared" si="1"/>
        <v>1800299.6895210922</v>
      </c>
    </row>
    <row r="11" spans="1:9" x14ac:dyDescent="0.25">
      <c r="C11" s="13">
        <v>5</v>
      </c>
      <c r="D11" s="2">
        <f t="shared" si="2"/>
        <v>607427.89100031671</v>
      </c>
      <c r="E11" s="1">
        <f t="shared" si="3"/>
        <v>1192871.7985207755</v>
      </c>
      <c r="F11" s="2">
        <f t="shared" si="4"/>
        <v>47107444.049830705</v>
      </c>
      <c r="G11" s="4">
        <f t="shared" si="0"/>
        <v>2892555.9501692951</v>
      </c>
      <c r="I11" s="2">
        <f t="shared" si="1"/>
        <v>1800299.6895210922</v>
      </c>
    </row>
    <row r="12" spans="1:9" x14ac:dyDescent="0.25">
      <c r="C12" s="13">
        <v>6</v>
      </c>
      <c r="D12" s="2">
        <f t="shared" si="2"/>
        <v>622613.58827532455</v>
      </c>
      <c r="E12" s="1">
        <f t="shared" si="3"/>
        <v>1177686.1012457677</v>
      </c>
      <c r="F12" s="2">
        <f t="shared" si="4"/>
        <v>46484830.461555377</v>
      </c>
      <c r="G12" s="4">
        <f t="shared" si="0"/>
        <v>3515169.5384446234</v>
      </c>
      <c r="I12" s="2">
        <f t="shared" si="1"/>
        <v>1800299.6895210922</v>
      </c>
    </row>
    <row r="13" spans="1:9" x14ac:dyDescent="0.25">
      <c r="C13" s="13">
        <v>7</v>
      </c>
      <c r="D13" s="2">
        <f t="shared" si="2"/>
        <v>638178.92798220785</v>
      </c>
      <c r="E13" s="1">
        <f t="shared" si="3"/>
        <v>1162120.7615388844</v>
      </c>
      <c r="F13" s="2">
        <f t="shared" si="4"/>
        <v>45846651.533573166</v>
      </c>
      <c r="G13" s="4">
        <f t="shared" si="0"/>
        <v>4153348.4664268345</v>
      </c>
      <c r="I13" s="2">
        <f t="shared" si="1"/>
        <v>1800299.6895210922</v>
      </c>
    </row>
    <row r="14" spans="1:9" x14ac:dyDescent="0.25">
      <c r="C14" s="13">
        <v>8</v>
      </c>
      <c r="D14" s="2">
        <f t="shared" si="2"/>
        <v>654133.40118176304</v>
      </c>
      <c r="E14" s="1">
        <f t="shared" si="3"/>
        <v>1146166.2883393292</v>
      </c>
      <c r="F14" s="2">
        <f t="shared" si="4"/>
        <v>45192518.132391401</v>
      </c>
      <c r="G14" s="4">
        <f t="shared" si="0"/>
        <v>4807481.8676085994</v>
      </c>
      <c r="I14" s="2">
        <f t="shared" si="1"/>
        <v>1800299.6895210922</v>
      </c>
    </row>
    <row r="15" spans="1:9" x14ac:dyDescent="0.25">
      <c r="C15" s="13">
        <v>9</v>
      </c>
      <c r="D15" s="2">
        <f t="shared" si="2"/>
        <v>670486.73621130711</v>
      </c>
      <c r="E15" s="1">
        <f t="shared" si="3"/>
        <v>1129812.9533097851</v>
      </c>
      <c r="F15" s="2">
        <f t="shared" si="4"/>
        <v>44522031.396180093</v>
      </c>
      <c r="G15" s="4">
        <f t="shared" si="0"/>
        <v>5477968.6038199067</v>
      </c>
      <c r="I15" s="2">
        <f t="shared" si="1"/>
        <v>1800299.6895210922</v>
      </c>
    </row>
    <row r="16" spans="1:9" x14ac:dyDescent="0.25">
      <c r="C16" s="13">
        <v>10</v>
      </c>
      <c r="D16" s="2">
        <f t="shared" si="2"/>
        <v>687248.90461658989</v>
      </c>
      <c r="E16" s="1">
        <f t="shared" si="3"/>
        <v>1113050.7849045023</v>
      </c>
      <c r="F16" s="2">
        <f t="shared" si="4"/>
        <v>43834782.491563506</v>
      </c>
      <c r="G16" s="4">
        <f t="shared" si="0"/>
        <v>6165217.5084364936</v>
      </c>
      <c r="I16" s="2">
        <f t="shared" si="1"/>
        <v>1800299.6895210922</v>
      </c>
    </row>
    <row r="17" spans="3:9" x14ac:dyDescent="0.25">
      <c r="C17" s="13">
        <v>11</v>
      </c>
      <c r="D17" s="2">
        <f t="shared" si="2"/>
        <v>704430.12723200442</v>
      </c>
      <c r="E17" s="1">
        <f t="shared" si="3"/>
        <v>1095869.5622890878</v>
      </c>
      <c r="F17" s="2">
        <f t="shared" si="4"/>
        <v>43130352.364331499</v>
      </c>
      <c r="G17" s="4">
        <f t="shared" si="0"/>
        <v>6869647.6356685013</v>
      </c>
      <c r="I17" s="2">
        <f t="shared" si="1"/>
        <v>1800299.6895210922</v>
      </c>
    </row>
    <row r="18" spans="3:9" x14ac:dyDescent="0.25">
      <c r="C18" s="13">
        <v>12</v>
      </c>
      <c r="D18" s="2">
        <f t="shared" si="2"/>
        <v>722040.88041280466</v>
      </c>
      <c r="E18" s="1">
        <f t="shared" si="3"/>
        <v>1078258.8091082876</v>
      </c>
      <c r="F18" s="2">
        <f t="shared" si="4"/>
        <v>42408311.483918697</v>
      </c>
      <c r="G18" s="4">
        <f t="shared" si="0"/>
        <v>7591688.5160813034</v>
      </c>
      <c r="I18" s="2">
        <f t="shared" si="1"/>
        <v>1800299.6895210922</v>
      </c>
    </row>
    <row r="19" spans="3:9" x14ac:dyDescent="0.25">
      <c r="C19" s="13">
        <v>13</v>
      </c>
      <c r="D19" s="2">
        <f t="shared" si="2"/>
        <v>740091.90242312476</v>
      </c>
      <c r="E19" s="1">
        <f t="shared" si="3"/>
        <v>1060207.7870979675</v>
      </c>
      <c r="F19" s="2">
        <f t="shared" si="4"/>
        <v>41668219.581495568</v>
      </c>
      <c r="G19" s="4">
        <f t="shared" si="0"/>
        <v>8331780.4185044318</v>
      </c>
      <c r="I19" s="2">
        <f t="shared" si="1"/>
        <v>1800299.6895210922</v>
      </c>
    </row>
    <row r="20" spans="3:9" x14ac:dyDescent="0.25">
      <c r="C20" s="13">
        <v>14</v>
      </c>
      <c r="D20" s="2">
        <f t="shared" si="2"/>
        <v>758594.19998370297</v>
      </c>
      <c r="E20" s="1">
        <f t="shared" si="3"/>
        <v>1041705.4895373893</v>
      </c>
      <c r="F20" s="2">
        <f t="shared" si="4"/>
        <v>40909625.381511867</v>
      </c>
      <c r="G20" s="4">
        <f t="shared" si="0"/>
        <v>9090374.618488133</v>
      </c>
      <c r="I20" s="2">
        <f t="shared" si="1"/>
        <v>1800299.6895210922</v>
      </c>
    </row>
    <row r="21" spans="3:9" x14ac:dyDescent="0.25">
      <c r="C21" s="13">
        <v>15</v>
      </c>
      <c r="D21" s="2">
        <f t="shared" si="2"/>
        <v>777559.0549832955</v>
      </c>
      <c r="E21" s="1">
        <f t="shared" si="3"/>
        <v>1022740.6345377967</v>
      </c>
      <c r="F21" s="2">
        <f t="shared" si="4"/>
        <v>40132066.326528572</v>
      </c>
      <c r="G21" s="4">
        <f t="shared" si="0"/>
        <v>9867933.6734714285</v>
      </c>
      <c r="I21" s="2">
        <f t="shared" si="1"/>
        <v>1800299.6895210922</v>
      </c>
    </row>
    <row r="22" spans="3:9" x14ac:dyDescent="0.25">
      <c r="C22" s="13">
        <v>16</v>
      </c>
      <c r="D22" s="2">
        <f t="shared" si="2"/>
        <v>796998.03135787789</v>
      </c>
      <c r="E22" s="1">
        <f t="shared" si="3"/>
        <v>1003301.6581632143</v>
      </c>
      <c r="F22" s="2">
        <f t="shared" si="4"/>
        <v>39335068.295170695</v>
      </c>
      <c r="G22" s="4">
        <f t="shared" si="0"/>
        <v>10664931.704829305</v>
      </c>
      <c r="I22" s="2">
        <f t="shared" si="1"/>
        <v>1800299.6895210922</v>
      </c>
    </row>
    <row r="23" spans="3:9" x14ac:dyDescent="0.25">
      <c r="C23" s="13">
        <v>17</v>
      </c>
      <c r="D23" s="2">
        <f t="shared" si="2"/>
        <v>816922.98214182479</v>
      </c>
      <c r="E23" s="1">
        <f t="shared" si="3"/>
        <v>983376.70737926743</v>
      </c>
      <c r="F23" s="2">
        <f t="shared" si="4"/>
        <v>38518145.313028872</v>
      </c>
      <c r="G23" s="4">
        <f t="shared" si="0"/>
        <v>11481854.686971128</v>
      </c>
      <c r="I23" s="2">
        <f t="shared" si="1"/>
        <v>1800299.6895210922</v>
      </c>
    </row>
    <row r="24" spans="3:9" x14ac:dyDescent="0.25">
      <c r="C24" s="13">
        <v>18</v>
      </c>
      <c r="D24" s="2">
        <f t="shared" si="2"/>
        <v>837346.05669537035</v>
      </c>
      <c r="E24" s="1">
        <f t="shared" si="3"/>
        <v>962953.63282572187</v>
      </c>
      <c r="F24" s="2">
        <f t="shared" si="4"/>
        <v>37680799.2563335</v>
      </c>
      <c r="G24" s="4">
        <f t="shared" si="0"/>
        <v>12319200.7436665</v>
      </c>
      <c r="I24" s="2">
        <f t="shared" si="1"/>
        <v>1800299.6895210922</v>
      </c>
    </row>
    <row r="25" spans="3:9" x14ac:dyDescent="0.25">
      <c r="C25" s="13">
        <v>19</v>
      </c>
      <c r="D25" s="2">
        <f t="shared" si="2"/>
        <v>858279.70811275463</v>
      </c>
      <c r="E25" s="1">
        <f t="shared" si="3"/>
        <v>942019.9814083376</v>
      </c>
      <c r="F25" s="2">
        <f t="shared" si="4"/>
        <v>36822519.548220746</v>
      </c>
      <c r="G25" s="4">
        <f t="shared" si="0"/>
        <v>13177480.451779254</v>
      </c>
      <c r="I25" s="2">
        <f t="shared" si="1"/>
        <v>1800299.6895210922</v>
      </c>
    </row>
    <row r="26" spans="3:9" x14ac:dyDescent="0.25">
      <c r="C26" s="13">
        <v>20</v>
      </c>
      <c r="D26" s="2">
        <f t="shared" si="2"/>
        <v>879736.70081557357</v>
      </c>
      <c r="E26" s="1">
        <f t="shared" si="3"/>
        <v>920562.98870551866</v>
      </c>
      <c r="F26" s="2">
        <f t="shared" ref="F26:F30" si="5">+F25-D26</f>
        <v>35942782.847405173</v>
      </c>
      <c r="G26" s="4">
        <f t="shared" si="0"/>
        <v>14057217.152594827</v>
      </c>
      <c r="I26" s="2">
        <f t="shared" si="1"/>
        <v>1800299.6895210922</v>
      </c>
    </row>
    <row r="27" spans="3:9" x14ac:dyDescent="0.25">
      <c r="C27" s="13">
        <v>21</v>
      </c>
      <c r="D27" s="2">
        <f t="shared" si="2"/>
        <v>901730.11833596288</v>
      </c>
      <c r="E27" s="1">
        <f t="shared" si="3"/>
        <v>898569.57118512935</v>
      </c>
      <c r="F27" s="2">
        <f t="shared" si="5"/>
        <v>35041052.729069211</v>
      </c>
      <c r="G27" s="4">
        <f t="shared" si="0"/>
        <v>14958947.270930789</v>
      </c>
      <c r="I27" s="2">
        <f t="shared" si="1"/>
        <v>1800299.6895210922</v>
      </c>
    </row>
    <row r="28" spans="3:9" x14ac:dyDescent="0.25">
      <c r="C28" s="13">
        <v>22</v>
      </c>
      <c r="D28" s="2">
        <f t="shared" si="2"/>
        <v>924273.37129436189</v>
      </c>
      <c r="E28" s="1">
        <f t="shared" si="3"/>
        <v>876026.31822673033</v>
      </c>
      <c r="F28" s="2">
        <f t="shared" si="5"/>
        <v>34116779.357774846</v>
      </c>
      <c r="G28" s="4">
        <f t="shared" si="0"/>
        <v>15883220.642225154</v>
      </c>
      <c r="I28" s="2">
        <f t="shared" si="1"/>
        <v>1800299.6895210922</v>
      </c>
    </row>
    <row r="29" spans="3:9" x14ac:dyDescent="0.25">
      <c r="C29" s="13">
        <v>23</v>
      </c>
      <c r="D29" s="2">
        <f t="shared" si="2"/>
        <v>947380.205576721</v>
      </c>
      <c r="E29" s="1">
        <f t="shared" si="3"/>
        <v>852919.48394437123</v>
      </c>
      <c r="F29" s="2">
        <f t="shared" si="5"/>
        <v>33169399.152198125</v>
      </c>
      <c r="G29" s="4">
        <f t="shared" si="0"/>
        <v>16830600.847801875</v>
      </c>
      <c r="I29" s="2">
        <f t="shared" si="1"/>
        <v>1800299.6895210922</v>
      </c>
    </row>
    <row r="30" spans="3:9" x14ac:dyDescent="0.25">
      <c r="C30" s="13">
        <v>24</v>
      </c>
      <c r="D30" s="2">
        <f t="shared" si="2"/>
        <v>971064.71071613906</v>
      </c>
      <c r="E30" s="1">
        <f t="shared" si="3"/>
        <v>829234.97880495316</v>
      </c>
      <c r="F30" s="2">
        <f t="shared" si="5"/>
        <v>32198334.441481985</v>
      </c>
      <c r="G30" s="4">
        <f t="shared" si="0"/>
        <v>17801665.558518015</v>
      </c>
      <c r="I30" s="2">
        <f t="shared" si="1"/>
        <v>1800299.6895210922</v>
      </c>
    </row>
    <row r="31" spans="3:9" x14ac:dyDescent="0.25">
      <c r="C31" s="13">
        <v>25</v>
      </c>
      <c r="D31" s="2">
        <f t="shared" ref="D31:D43" si="6">+$B$4-E31</f>
        <v>995341.32848404255</v>
      </c>
      <c r="E31" s="1">
        <f t="shared" ref="E31:E42" si="7">+F30*$B$2</f>
        <v>804958.36103704968</v>
      </c>
      <c r="F31" s="2">
        <f t="shared" ref="F31:F42" si="8">+F30-D31</f>
        <v>31202993.112997942</v>
      </c>
      <c r="G31" s="4">
        <f t="shared" ref="G31:G42" si="9">+$B$1-F31</f>
        <v>18797006.887002058</v>
      </c>
      <c r="I31" s="2">
        <f t="shared" ref="I31:I43" si="10">+D31+E31</f>
        <v>1800299.6895210922</v>
      </c>
    </row>
    <row r="32" spans="3:9" x14ac:dyDescent="0.25">
      <c r="C32" s="13">
        <v>26</v>
      </c>
      <c r="D32" s="2">
        <f t="shared" si="6"/>
        <v>1020224.8616961436</v>
      </c>
      <c r="E32" s="1">
        <f t="shared" si="7"/>
        <v>780074.82782494859</v>
      </c>
      <c r="F32" s="2">
        <f t="shared" si="8"/>
        <v>30182768.251301799</v>
      </c>
      <c r="G32" s="4">
        <f t="shared" si="9"/>
        <v>19817231.748698201</v>
      </c>
      <c r="I32" s="2">
        <f t="shared" si="10"/>
        <v>1800299.6895210922</v>
      </c>
    </row>
    <row r="33" spans="3:9" x14ac:dyDescent="0.25">
      <c r="C33" s="13">
        <v>27</v>
      </c>
      <c r="D33" s="2">
        <f t="shared" si="6"/>
        <v>1045730.4832385472</v>
      </c>
      <c r="E33" s="1">
        <f t="shared" si="7"/>
        <v>754569.206282545</v>
      </c>
      <c r="F33" s="2">
        <f t="shared" si="8"/>
        <v>29137037.768063251</v>
      </c>
      <c r="G33" s="4">
        <f t="shared" si="9"/>
        <v>20862962.231936749</v>
      </c>
      <c r="I33" s="2">
        <f t="shared" si="10"/>
        <v>1800299.6895210922</v>
      </c>
    </row>
    <row r="34" spans="3:9" x14ac:dyDescent="0.25">
      <c r="C34" s="13">
        <v>28</v>
      </c>
      <c r="D34" s="2">
        <f t="shared" si="6"/>
        <v>1071873.7453195108</v>
      </c>
      <c r="E34" s="1">
        <f t="shared" si="7"/>
        <v>728425.9442015813</v>
      </c>
      <c r="F34" s="2">
        <f t="shared" si="8"/>
        <v>28065164.022743739</v>
      </c>
      <c r="G34" s="4">
        <f t="shared" si="9"/>
        <v>21934835.977256261</v>
      </c>
      <c r="I34" s="2">
        <f t="shared" si="10"/>
        <v>1800299.689521092</v>
      </c>
    </row>
    <row r="35" spans="3:9" x14ac:dyDescent="0.25">
      <c r="C35" s="13">
        <v>29</v>
      </c>
      <c r="D35" s="2">
        <f t="shared" si="6"/>
        <v>1098670.5889524987</v>
      </c>
      <c r="E35" s="1">
        <f t="shared" si="7"/>
        <v>701629.10056859348</v>
      </c>
      <c r="F35" s="2">
        <f t="shared" si="8"/>
        <v>26966493.433791239</v>
      </c>
      <c r="G35" s="4">
        <f t="shared" si="9"/>
        <v>23033506.566208761</v>
      </c>
      <c r="I35" s="2">
        <f t="shared" si="10"/>
        <v>1800299.6895210922</v>
      </c>
    </row>
    <row r="36" spans="3:9" x14ac:dyDescent="0.25">
      <c r="C36" s="13">
        <v>30</v>
      </c>
      <c r="D36" s="2">
        <f t="shared" si="6"/>
        <v>1126137.3536763112</v>
      </c>
      <c r="E36" s="1">
        <f t="shared" si="7"/>
        <v>674162.33584478102</v>
      </c>
      <c r="F36" s="2">
        <f t="shared" si="8"/>
        <v>25840356.080114927</v>
      </c>
      <c r="G36" s="4">
        <f t="shared" si="9"/>
        <v>24159643.919885073</v>
      </c>
      <c r="I36" s="2">
        <f t="shared" si="10"/>
        <v>1800299.6895210922</v>
      </c>
    </row>
    <row r="37" spans="3:9" x14ac:dyDescent="0.25">
      <c r="C37" s="13">
        <v>31</v>
      </c>
      <c r="D37" s="2">
        <f t="shared" si="6"/>
        <v>1154290.7875182191</v>
      </c>
      <c r="E37" s="1">
        <f t="shared" si="7"/>
        <v>646008.90200287325</v>
      </c>
      <c r="F37" s="2">
        <f t="shared" si="8"/>
        <v>24686065.292596709</v>
      </c>
      <c r="G37" s="4">
        <f t="shared" si="9"/>
        <v>25313934.707403291</v>
      </c>
      <c r="I37" s="2">
        <f t="shared" si="10"/>
        <v>1800299.6895210925</v>
      </c>
    </row>
    <row r="38" spans="3:9" x14ac:dyDescent="0.25">
      <c r="C38" s="13">
        <v>32</v>
      </c>
      <c r="D38" s="2">
        <f t="shared" si="6"/>
        <v>1183148.0572061744</v>
      </c>
      <c r="E38" s="1">
        <f t="shared" si="7"/>
        <v>617151.63231491775</v>
      </c>
      <c r="F38" s="2">
        <f t="shared" si="8"/>
        <v>23502917.235390536</v>
      </c>
      <c r="G38" s="4">
        <f t="shared" si="9"/>
        <v>26497082.764609464</v>
      </c>
      <c r="I38" s="2">
        <f t="shared" si="10"/>
        <v>1800299.689521092</v>
      </c>
    </row>
    <row r="39" spans="3:9" x14ac:dyDescent="0.25">
      <c r="C39" s="13">
        <v>33</v>
      </c>
      <c r="D39" s="2">
        <f t="shared" si="6"/>
        <v>1212726.7586363289</v>
      </c>
      <c r="E39" s="1">
        <f t="shared" si="7"/>
        <v>587572.93088476348</v>
      </c>
      <c r="F39" s="2">
        <f t="shared" si="8"/>
        <v>22290190.476754207</v>
      </c>
      <c r="G39" s="4">
        <f t="shared" si="9"/>
        <v>27709809.523245793</v>
      </c>
      <c r="I39" s="2">
        <f t="shared" si="10"/>
        <v>1800299.6895210925</v>
      </c>
    </row>
    <row r="40" spans="3:9" x14ac:dyDescent="0.25">
      <c r="C40" s="13">
        <v>34</v>
      </c>
      <c r="D40" s="2">
        <f t="shared" si="6"/>
        <v>1243044.9276022371</v>
      </c>
      <c r="E40" s="1">
        <f t="shared" si="7"/>
        <v>557254.76191885525</v>
      </c>
      <c r="F40" s="2">
        <f t="shared" si="8"/>
        <v>21047145.549151972</v>
      </c>
      <c r="G40" s="4">
        <f t="shared" si="9"/>
        <v>28952854.450848028</v>
      </c>
      <c r="I40" s="2">
        <f t="shared" si="10"/>
        <v>1800299.6895210925</v>
      </c>
    </row>
    <row r="41" spans="3:9" x14ac:dyDescent="0.25">
      <c r="C41" s="13">
        <v>35</v>
      </c>
      <c r="D41" s="2">
        <f t="shared" si="6"/>
        <v>1274121.0507922929</v>
      </c>
      <c r="E41" s="1">
        <f t="shared" si="7"/>
        <v>526178.6387287993</v>
      </c>
      <c r="F41" s="2">
        <f t="shared" si="8"/>
        <v>19773024.49835968</v>
      </c>
      <c r="G41" s="4">
        <f t="shared" si="9"/>
        <v>30226975.50164032</v>
      </c>
      <c r="I41" s="2">
        <f t="shared" si="10"/>
        <v>1800299.6895210922</v>
      </c>
    </row>
    <row r="42" spans="3:9" x14ac:dyDescent="0.25">
      <c r="C42" s="13">
        <v>36</v>
      </c>
      <c r="D42" s="2">
        <f t="shared" si="6"/>
        <v>1305974.0770621002</v>
      </c>
      <c r="E42" s="1">
        <f t="shared" si="7"/>
        <v>494325.61245899205</v>
      </c>
      <c r="F42" s="2">
        <f t="shared" si="8"/>
        <v>18467050.42129758</v>
      </c>
      <c r="G42" s="4">
        <f t="shared" si="9"/>
        <v>31532949.57870242</v>
      </c>
      <c r="I42" s="2">
        <f t="shared" si="10"/>
        <v>1800299.6895210922</v>
      </c>
    </row>
    <row r="43" spans="3:9" x14ac:dyDescent="0.25">
      <c r="C43" s="13">
        <v>37</v>
      </c>
      <c r="D43" s="2">
        <f t="shared" ref="D43:D106" si="11">+$B$4-E43</f>
        <v>1338623.4289886528</v>
      </c>
      <c r="E43" s="1">
        <f t="shared" ref="E43:E106" si="12">+F42*$B$2</f>
        <v>461676.26053243951</v>
      </c>
      <c r="F43" s="2">
        <f t="shared" ref="F43:F106" si="13">+F42-D43</f>
        <v>17128426.992308926</v>
      </c>
      <c r="G43" s="4">
        <f t="shared" ref="G43:G106" si="14">+$B$1-F43</f>
        <v>32871573.007691074</v>
      </c>
      <c r="I43" s="2">
        <f t="shared" ref="I43:I106" si="15">+D43+E43</f>
        <v>1800299.6895210922</v>
      </c>
    </row>
    <row r="44" spans="3:9" x14ac:dyDescent="0.25">
      <c r="C44" s="13">
        <v>38</v>
      </c>
      <c r="D44" s="2">
        <f t="shared" si="11"/>
        <v>1372089.0147133691</v>
      </c>
      <c r="E44" s="1">
        <f t="shared" si="12"/>
        <v>428210.67480772315</v>
      </c>
      <c r="F44" s="2">
        <f t="shared" si="13"/>
        <v>15756337.977595557</v>
      </c>
      <c r="G44" s="4">
        <f t="shared" si="14"/>
        <v>34243662.022404447</v>
      </c>
      <c r="I44" s="2">
        <f t="shared" si="15"/>
        <v>1800299.6895210922</v>
      </c>
    </row>
    <row r="45" spans="3:9" x14ac:dyDescent="0.25">
      <c r="C45" s="13">
        <v>39</v>
      </c>
      <c r="D45" s="2">
        <f t="shared" si="11"/>
        <v>1406391.2400812032</v>
      </c>
      <c r="E45" s="1">
        <f t="shared" si="12"/>
        <v>393908.44943988894</v>
      </c>
      <c r="F45" s="2">
        <f t="shared" si="13"/>
        <v>14349946.737514354</v>
      </c>
      <c r="G45" s="4">
        <f t="shared" si="14"/>
        <v>35650053.262485646</v>
      </c>
      <c r="I45" s="2">
        <f t="shared" si="15"/>
        <v>1800299.689521092</v>
      </c>
    </row>
    <row r="46" spans="3:9" x14ac:dyDescent="0.25">
      <c r="C46" s="13">
        <v>40</v>
      </c>
      <c r="D46" s="2">
        <f t="shared" si="11"/>
        <v>1441551.0210832334</v>
      </c>
      <c r="E46" s="1">
        <f t="shared" si="12"/>
        <v>358748.66843785887</v>
      </c>
      <c r="F46" s="2">
        <f t="shared" si="13"/>
        <v>12908395.71643112</v>
      </c>
      <c r="G46" s="4">
        <f t="shared" si="14"/>
        <v>37091604.283568881</v>
      </c>
      <c r="I46" s="2">
        <f t="shared" si="15"/>
        <v>1800299.6895210922</v>
      </c>
    </row>
    <row r="47" spans="3:9" x14ac:dyDescent="0.25">
      <c r="C47" s="13">
        <v>41</v>
      </c>
      <c r="D47" s="2">
        <f t="shared" si="11"/>
        <v>1477589.7966103142</v>
      </c>
      <c r="E47" s="1">
        <f t="shared" si="12"/>
        <v>322709.89291077806</v>
      </c>
      <c r="F47" s="2">
        <f t="shared" si="13"/>
        <v>11430805.919820806</v>
      </c>
      <c r="G47" s="4">
        <f t="shared" si="14"/>
        <v>38569194.080179192</v>
      </c>
      <c r="I47" s="2">
        <f t="shared" si="15"/>
        <v>1800299.6895210922</v>
      </c>
    </row>
    <row r="48" spans="3:9" x14ac:dyDescent="0.25">
      <c r="C48" s="13">
        <v>42</v>
      </c>
      <c r="D48" s="2">
        <f t="shared" si="11"/>
        <v>1514529.5415255721</v>
      </c>
      <c r="E48" s="1">
        <f t="shared" si="12"/>
        <v>285770.14799552015</v>
      </c>
      <c r="F48" s="2">
        <f t="shared" si="13"/>
        <v>9916276.3782952335</v>
      </c>
      <c r="G48" s="4">
        <f t="shared" si="14"/>
        <v>40083723.621704765</v>
      </c>
      <c r="I48" s="2">
        <f t="shared" si="15"/>
        <v>1800299.6895210922</v>
      </c>
    </row>
    <row r="49" spans="3:9" x14ac:dyDescent="0.25">
      <c r="C49" s="13">
        <v>43</v>
      </c>
      <c r="D49" s="2">
        <f t="shared" si="11"/>
        <v>1552392.7800637113</v>
      </c>
      <c r="E49" s="1">
        <f t="shared" si="12"/>
        <v>247906.90945738085</v>
      </c>
      <c r="F49" s="2">
        <f t="shared" si="13"/>
        <v>8363883.5982315224</v>
      </c>
      <c r="G49" s="4">
        <f t="shared" si="14"/>
        <v>41636116.401768476</v>
      </c>
      <c r="I49" s="2">
        <f t="shared" si="15"/>
        <v>1800299.6895210922</v>
      </c>
    </row>
    <row r="50" spans="3:9" x14ac:dyDescent="0.25">
      <c r="C50" s="13">
        <v>44</v>
      </c>
      <c r="D50" s="2">
        <f t="shared" si="11"/>
        <v>1591202.5995653041</v>
      </c>
      <c r="E50" s="1">
        <f t="shared" si="12"/>
        <v>209097.08995578808</v>
      </c>
      <c r="F50" s="2">
        <f t="shared" si="13"/>
        <v>6772680.9986662185</v>
      </c>
      <c r="G50" s="4">
        <f t="shared" si="14"/>
        <v>43227319.001333781</v>
      </c>
      <c r="I50" s="2">
        <f t="shared" si="15"/>
        <v>1800299.6895210922</v>
      </c>
    </row>
    <row r="51" spans="3:9" x14ac:dyDescent="0.25">
      <c r="C51" s="13">
        <v>45</v>
      </c>
      <c r="D51" s="2">
        <f t="shared" si="11"/>
        <v>1630982.6645544367</v>
      </c>
      <c r="E51" s="1">
        <f t="shared" si="12"/>
        <v>169317.02496665547</v>
      </c>
      <c r="F51" s="2">
        <f t="shared" si="13"/>
        <v>5141698.3341117818</v>
      </c>
      <c r="G51" s="4">
        <f t="shared" si="14"/>
        <v>44858301.66588822</v>
      </c>
      <c r="I51" s="2">
        <f t="shared" si="15"/>
        <v>1800299.6895210922</v>
      </c>
    </row>
    <row r="52" spans="3:9" x14ac:dyDescent="0.25">
      <c r="C52" s="13">
        <v>46</v>
      </c>
      <c r="D52" s="2">
        <f t="shared" si="11"/>
        <v>1671757.2311682976</v>
      </c>
      <c r="E52" s="1">
        <f t="shared" si="12"/>
        <v>128542.45835279455</v>
      </c>
      <c r="F52" s="2">
        <f t="shared" si="13"/>
        <v>3469941.1029434842</v>
      </c>
      <c r="G52" s="4">
        <f t="shared" si="14"/>
        <v>46530058.897056513</v>
      </c>
      <c r="I52" s="2">
        <f t="shared" si="15"/>
        <v>1800299.6895210922</v>
      </c>
    </row>
    <row r="53" spans="3:9" x14ac:dyDescent="0.25">
      <c r="C53" s="13">
        <v>47</v>
      </c>
      <c r="D53" s="2">
        <f t="shared" si="11"/>
        <v>1713551.1619475051</v>
      </c>
      <c r="E53" s="1">
        <f t="shared" si="12"/>
        <v>86748.527573587111</v>
      </c>
      <c r="F53" s="2">
        <f t="shared" si="13"/>
        <v>1756389.9409959791</v>
      </c>
      <c r="G53" s="4">
        <f t="shared" si="14"/>
        <v>48243610.059004024</v>
      </c>
      <c r="I53" s="2">
        <f t="shared" si="15"/>
        <v>1800299.6895210922</v>
      </c>
    </row>
    <row r="54" spans="3:9" x14ac:dyDescent="0.25">
      <c r="C54" s="13">
        <v>48</v>
      </c>
      <c r="D54" s="2">
        <f t="shared" si="11"/>
        <v>1756389.9409961929</v>
      </c>
      <c r="E54" s="1">
        <f t="shared" si="12"/>
        <v>43909.748524899478</v>
      </c>
      <c r="F54" s="2">
        <f t="shared" si="13"/>
        <v>-2.1373853087425232E-7</v>
      </c>
      <c r="G54" s="4">
        <f t="shared" si="14"/>
        <v>50000000.000000216</v>
      </c>
      <c r="I54" s="2">
        <f t="shared" si="15"/>
        <v>1800299.6895210925</v>
      </c>
    </row>
    <row r="55" spans="3:9" x14ac:dyDescent="0.25">
      <c r="C55" s="13">
        <v>49</v>
      </c>
      <c r="D55" s="2"/>
      <c r="E55" s="1"/>
      <c r="F55" s="2"/>
      <c r="G55" s="4"/>
      <c r="I55" s="2"/>
    </row>
    <row r="56" spans="3:9" x14ac:dyDescent="0.25">
      <c r="C56" s="13">
        <v>50</v>
      </c>
      <c r="D56" s="2"/>
      <c r="E56" s="1"/>
      <c r="F56" s="2"/>
      <c r="G56" s="4"/>
      <c r="I56" s="2"/>
    </row>
    <row r="57" spans="3:9" x14ac:dyDescent="0.25">
      <c r="C57" s="13">
        <v>51</v>
      </c>
      <c r="D57" s="2"/>
      <c r="E57" s="1"/>
      <c r="F57" s="2"/>
      <c r="G57" s="4"/>
      <c r="I57" s="2"/>
    </row>
    <row r="58" spans="3:9" x14ac:dyDescent="0.25">
      <c r="C58" s="13">
        <v>52</v>
      </c>
      <c r="D58" s="2"/>
      <c r="E58" s="1"/>
      <c r="F58" s="2"/>
      <c r="G58" s="4"/>
      <c r="I58" s="2"/>
    </row>
    <row r="59" spans="3:9" x14ac:dyDescent="0.25">
      <c r="C59" s="13">
        <v>53</v>
      </c>
      <c r="D59" s="2"/>
      <c r="E59" s="1"/>
      <c r="F59" s="2"/>
      <c r="G59" s="4"/>
      <c r="I59" s="2"/>
    </row>
    <row r="60" spans="3:9" x14ac:dyDescent="0.25">
      <c r="C60" s="13">
        <v>54</v>
      </c>
      <c r="D60" s="2"/>
      <c r="E60" s="1"/>
      <c r="F60" s="2"/>
      <c r="G60" s="4"/>
      <c r="I60" s="2"/>
    </row>
    <row r="61" spans="3:9" x14ac:dyDescent="0.25">
      <c r="C61" s="13">
        <v>55</v>
      </c>
      <c r="D61" s="2"/>
      <c r="E61" s="1"/>
      <c r="F61" s="2"/>
      <c r="G61" s="4"/>
      <c r="I61" s="2"/>
    </row>
    <row r="62" spans="3:9" x14ac:dyDescent="0.25">
      <c r="C62" s="13">
        <v>56</v>
      </c>
      <c r="D62" s="2"/>
      <c r="E62" s="1"/>
      <c r="F62" s="2"/>
      <c r="G62" s="4"/>
      <c r="I62" s="2"/>
    </row>
    <row r="63" spans="3:9" x14ac:dyDescent="0.25">
      <c r="C63" s="13">
        <v>57</v>
      </c>
      <c r="D63" s="2"/>
      <c r="E63" s="1"/>
      <c r="F63" s="2"/>
      <c r="G63" s="4"/>
      <c r="I63" s="2"/>
    </row>
    <row r="64" spans="3:9" x14ac:dyDescent="0.25">
      <c r="C64" s="13">
        <v>58</v>
      </c>
      <c r="D64" s="2"/>
      <c r="E64" s="1"/>
      <c r="F64" s="2"/>
      <c r="G64" s="4"/>
      <c r="I64" s="2"/>
    </row>
    <row r="65" spans="3:9" x14ac:dyDescent="0.25">
      <c r="C65" s="13">
        <v>59</v>
      </c>
      <c r="D65" s="2"/>
      <c r="E65" s="1"/>
      <c r="F65" s="2"/>
      <c r="G65" s="4"/>
      <c r="I65" s="2"/>
    </row>
    <row r="66" spans="3:9" x14ac:dyDescent="0.25">
      <c r="C66" s="13">
        <v>60</v>
      </c>
      <c r="D66" s="2"/>
      <c r="E66" s="1"/>
      <c r="F66" s="2"/>
      <c r="G66" s="4"/>
      <c r="I66" s="2"/>
    </row>
    <row r="67" spans="3:9" x14ac:dyDescent="0.25">
      <c r="C67" s="13">
        <v>61</v>
      </c>
      <c r="D67" s="2"/>
      <c r="E67" s="1"/>
      <c r="F67" s="2"/>
      <c r="G67" s="4"/>
      <c r="I67" s="2"/>
    </row>
    <row r="68" spans="3:9" x14ac:dyDescent="0.25">
      <c r="C68" s="13">
        <v>62</v>
      </c>
      <c r="D68" s="2"/>
      <c r="E68" s="1"/>
      <c r="F68" s="2"/>
      <c r="G68" s="4"/>
      <c r="I68" s="2"/>
    </row>
    <row r="69" spans="3:9" x14ac:dyDescent="0.25">
      <c r="C69" s="13">
        <v>63</v>
      </c>
      <c r="D69" s="2"/>
      <c r="E69" s="1"/>
      <c r="F69" s="2"/>
      <c r="G69" s="4"/>
      <c r="I69" s="2"/>
    </row>
    <row r="70" spans="3:9" x14ac:dyDescent="0.25">
      <c r="C70" s="13">
        <v>64</v>
      </c>
      <c r="D70" s="2"/>
      <c r="E70" s="1"/>
      <c r="F70" s="2"/>
      <c r="G70" s="4"/>
      <c r="I70" s="2"/>
    </row>
    <row r="71" spans="3:9" x14ac:dyDescent="0.25">
      <c r="C71" s="13">
        <v>65</v>
      </c>
      <c r="D71" s="2"/>
      <c r="E71" s="1"/>
      <c r="F71" s="2"/>
      <c r="G71" s="4"/>
      <c r="I71" s="2"/>
    </row>
    <row r="72" spans="3:9" x14ac:dyDescent="0.25">
      <c r="C72" s="13">
        <v>66</v>
      </c>
      <c r="D72" s="2"/>
      <c r="E72" s="1"/>
      <c r="F72" s="2"/>
      <c r="G72" s="4"/>
      <c r="I72" s="2"/>
    </row>
    <row r="73" spans="3:9" x14ac:dyDescent="0.25">
      <c r="C73" s="13">
        <v>67</v>
      </c>
      <c r="D73" s="2"/>
      <c r="E73" s="1"/>
      <c r="F73" s="2"/>
      <c r="G73" s="4"/>
      <c r="I73" s="2"/>
    </row>
    <row r="74" spans="3:9" x14ac:dyDescent="0.25">
      <c r="C74" s="13">
        <v>68</v>
      </c>
      <c r="D74" s="2"/>
      <c r="E74" s="1"/>
      <c r="F74" s="2"/>
      <c r="G74" s="4"/>
      <c r="I74" s="2"/>
    </row>
    <row r="75" spans="3:9" x14ac:dyDescent="0.25">
      <c r="C75" s="13">
        <v>69</v>
      </c>
      <c r="D75" s="2"/>
      <c r="E75" s="1"/>
      <c r="F75" s="2"/>
      <c r="G75" s="4"/>
      <c r="I75" s="2"/>
    </row>
    <row r="76" spans="3:9" x14ac:dyDescent="0.25">
      <c r="C76" s="13">
        <v>70</v>
      </c>
      <c r="D76" s="2"/>
      <c r="E76" s="1"/>
      <c r="F76" s="2"/>
      <c r="G76" s="4"/>
      <c r="I76" s="2"/>
    </row>
    <row r="77" spans="3:9" x14ac:dyDescent="0.25">
      <c r="C77" s="13">
        <v>71</v>
      </c>
      <c r="D77" s="2"/>
      <c r="E77" s="1"/>
      <c r="F77" s="2"/>
      <c r="G77" s="4"/>
      <c r="I77" s="2"/>
    </row>
    <row r="78" spans="3:9" x14ac:dyDescent="0.25">
      <c r="C78" s="13">
        <v>72</v>
      </c>
      <c r="D78" s="2"/>
      <c r="E78" s="1"/>
      <c r="F78" s="2"/>
      <c r="G78" s="4"/>
      <c r="I78" s="2"/>
    </row>
    <row r="79" spans="3:9" x14ac:dyDescent="0.25">
      <c r="C79" s="13">
        <v>73</v>
      </c>
      <c r="D79" s="2"/>
      <c r="E79" s="1"/>
      <c r="F79" s="2"/>
      <c r="G79" s="4"/>
      <c r="I79" s="2"/>
    </row>
    <row r="80" spans="3:9" x14ac:dyDescent="0.25">
      <c r="C80" s="13">
        <v>74</v>
      </c>
      <c r="D80" s="2"/>
      <c r="E80" s="1"/>
      <c r="F80" s="2"/>
      <c r="G80" s="4"/>
      <c r="I80" s="2"/>
    </row>
    <row r="81" spans="3:9" x14ac:dyDescent="0.25">
      <c r="C81" s="13">
        <v>75</v>
      </c>
      <c r="D81" s="2"/>
      <c r="E81" s="1"/>
      <c r="F81" s="2"/>
      <c r="G81" s="4"/>
      <c r="I81" s="2"/>
    </row>
    <row r="82" spans="3:9" x14ac:dyDescent="0.25">
      <c r="C82" s="13">
        <v>76</v>
      </c>
      <c r="D82" s="2"/>
      <c r="E82" s="1"/>
      <c r="F82" s="2"/>
      <c r="G82" s="4"/>
      <c r="I82" s="2"/>
    </row>
    <row r="83" spans="3:9" x14ac:dyDescent="0.25">
      <c r="C83" s="13">
        <v>77</v>
      </c>
      <c r="D83" s="2"/>
      <c r="E83" s="1"/>
      <c r="F83" s="2"/>
      <c r="G83" s="4"/>
      <c r="I83" s="2"/>
    </row>
    <row r="84" spans="3:9" x14ac:dyDescent="0.25">
      <c r="C84" s="13">
        <v>78</v>
      </c>
      <c r="D84" s="2"/>
      <c r="E84" s="1"/>
      <c r="F84" s="2"/>
      <c r="G84" s="4"/>
      <c r="I84" s="2"/>
    </row>
    <row r="85" spans="3:9" x14ac:dyDescent="0.25">
      <c r="C85" s="13">
        <v>79</v>
      </c>
      <c r="D85" s="2"/>
      <c r="E85" s="1"/>
      <c r="F85" s="2"/>
      <c r="G85" s="4"/>
      <c r="I85" s="2"/>
    </row>
    <row r="86" spans="3:9" x14ac:dyDescent="0.25">
      <c r="C86" s="13">
        <v>80</v>
      </c>
      <c r="D86" s="2"/>
      <c r="E86" s="1"/>
      <c r="F86" s="2"/>
      <c r="G86" s="4"/>
      <c r="I86" s="2"/>
    </row>
    <row r="87" spans="3:9" x14ac:dyDescent="0.25">
      <c r="C87" s="13">
        <v>81</v>
      </c>
      <c r="D87" s="2"/>
      <c r="E87" s="1"/>
      <c r="F87" s="2"/>
      <c r="G87" s="4"/>
      <c r="I87" s="2"/>
    </row>
    <row r="88" spans="3:9" x14ac:dyDescent="0.25">
      <c r="C88" s="13">
        <v>82</v>
      </c>
      <c r="D88" s="2"/>
      <c r="E88" s="1"/>
      <c r="F88" s="2"/>
      <c r="G88" s="4"/>
      <c r="I88" s="2"/>
    </row>
    <row r="89" spans="3:9" x14ac:dyDescent="0.25">
      <c r="C89" s="13">
        <v>83</v>
      </c>
      <c r="D89" s="2"/>
      <c r="E89" s="1"/>
      <c r="F89" s="2"/>
      <c r="G89" s="4"/>
      <c r="I89" s="2"/>
    </row>
    <row r="90" spans="3:9" x14ac:dyDescent="0.25">
      <c r="C90" s="13">
        <v>84</v>
      </c>
      <c r="D90" s="2"/>
      <c r="E90" s="1"/>
      <c r="F90" s="2"/>
      <c r="G90" s="4"/>
      <c r="I90" s="2"/>
    </row>
    <row r="91" spans="3:9" x14ac:dyDescent="0.25">
      <c r="C91" s="13">
        <v>85</v>
      </c>
      <c r="D91" s="2"/>
      <c r="E91" s="1"/>
      <c r="F91" s="2"/>
      <c r="G91" s="4"/>
      <c r="I91" s="2"/>
    </row>
    <row r="92" spans="3:9" x14ac:dyDescent="0.25">
      <c r="C92" s="13">
        <v>86</v>
      </c>
      <c r="D92" s="2"/>
      <c r="E92" s="1"/>
      <c r="F92" s="2"/>
      <c r="G92" s="4"/>
      <c r="I92" s="2"/>
    </row>
    <row r="93" spans="3:9" x14ac:dyDescent="0.25">
      <c r="C93" s="13">
        <v>87</v>
      </c>
      <c r="D93" s="2"/>
      <c r="E93" s="1"/>
      <c r="F93" s="2"/>
      <c r="G93" s="4"/>
      <c r="I93" s="2"/>
    </row>
    <row r="94" spans="3:9" x14ac:dyDescent="0.25">
      <c r="C94" s="13">
        <v>88</v>
      </c>
      <c r="D94" s="2"/>
      <c r="E94" s="1"/>
      <c r="F94" s="2"/>
      <c r="G94" s="4"/>
      <c r="I94" s="2"/>
    </row>
    <row r="95" spans="3:9" x14ac:dyDescent="0.25">
      <c r="C95" s="13">
        <v>89</v>
      </c>
      <c r="D95" s="2"/>
      <c r="E95" s="1"/>
      <c r="F95" s="2"/>
      <c r="G95" s="4"/>
      <c r="I95" s="2"/>
    </row>
    <row r="96" spans="3:9" x14ac:dyDescent="0.25">
      <c r="C96" s="13">
        <v>90</v>
      </c>
      <c r="D96" s="2"/>
      <c r="E96" s="1"/>
      <c r="F96" s="2"/>
      <c r="G96" s="4"/>
      <c r="I96" s="2"/>
    </row>
    <row r="97" spans="3:9" x14ac:dyDescent="0.25">
      <c r="C97" s="13">
        <v>91</v>
      </c>
      <c r="D97" s="2"/>
      <c r="E97" s="1"/>
      <c r="F97" s="2"/>
      <c r="G97" s="4"/>
      <c r="I97" s="2"/>
    </row>
    <row r="98" spans="3:9" x14ac:dyDescent="0.25">
      <c r="C98" s="13">
        <v>92</v>
      </c>
      <c r="D98" s="2"/>
      <c r="E98" s="1"/>
      <c r="F98" s="2"/>
      <c r="G98" s="4"/>
      <c r="I98" s="2"/>
    </row>
    <row r="99" spans="3:9" x14ac:dyDescent="0.25">
      <c r="C99" s="13">
        <v>93</v>
      </c>
      <c r="D99" s="2"/>
      <c r="E99" s="1"/>
      <c r="F99" s="2"/>
      <c r="G99" s="4"/>
      <c r="I99" s="2"/>
    </row>
    <row r="100" spans="3:9" x14ac:dyDescent="0.25">
      <c r="C100" s="13">
        <v>94</v>
      </c>
      <c r="D100" s="2"/>
      <c r="E100" s="1"/>
      <c r="F100" s="2"/>
      <c r="G100" s="4"/>
      <c r="I100" s="2"/>
    </row>
    <row r="101" spans="3:9" x14ac:dyDescent="0.25">
      <c r="C101" s="13">
        <v>95</v>
      </c>
      <c r="D101" s="2"/>
      <c r="E101" s="1"/>
      <c r="F101" s="2"/>
      <c r="G101" s="4"/>
      <c r="I101" s="2"/>
    </row>
    <row r="102" spans="3:9" x14ac:dyDescent="0.25">
      <c r="C102" s="13">
        <v>96</v>
      </c>
      <c r="D102" s="2"/>
      <c r="E102" s="1"/>
      <c r="F102" s="2"/>
      <c r="G102" s="4"/>
      <c r="I102" s="2"/>
    </row>
    <row r="103" spans="3:9" x14ac:dyDescent="0.25">
      <c r="C103" s="13">
        <v>97</v>
      </c>
      <c r="D103" s="2"/>
      <c r="E103" s="1"/>
      <c r="F103" s="2"/>
      <c r="G103" s="4"/>
      <c r="I103" s="2"/>
    </row>
    <row r="104" spans="3:9" x14ac:dyDescent="0.25">
      <c r="C104" s="13">
        <v>98</v>
      </c>
      <c r="D104" s="2"/>
      <c r="E104" s="1"/>
      <c r="F104" s="2"/>
      <c r="G104" s="4"/>
      <c r="I104" s="2"/>
    </row>
    <row r="105" spans="3:9" x14ac:dyDescent="0.25">
      <c r="C105" s="13">
        <v>99</v>
      </c>
      <c r="D105" s="2"/>
      <c r="E105" s="1"/>
      <c r="F105" s="2"/>
      <c r="G105" s="4"/>
      <c r="I105" s="2"/>
    </row>
    <row r="106" spans="3:9" x14ac:dyDescent="0.25">
      <c r="C106" s="13">
        <v>100</v>
      </c>
      <c r="D106" s="2"/>
      <c r="E106" s="1"/>
      <c r="F106" s="2"/>
      <c r="G106" s="4"/>
      <c r="I106" s="2"/>
    </row>
    <row r="107" spans="3:9" x14ac:dyDescent="0.25">
      <c r="C107" s="13">
        <v>101</v>
      </c>
      <c r="D107" s="2"/>
      <c r="E107" s="1"/>
      <c r="F107" s="2"/>
      <c r="G107" s="4"/>
      <c r="I107" s="2"/>
    </row>
    <row r="108" spans="3:9" x14ac:dyDescent="0.25">
      <c r="C108" s="13">
        <v>102</v>
      </c>
      <c r="D108" s="2"/>
      <c r="E108" s="1"/>
      <c r="F108" s="2"/>
      <c r="G108" s="4"/>
      <c r="I108" s="2"/>
    </row>
    <row r="109" spans="3:9" x14ac:dyDescent="0.25">
      <c r="C109" s="13">
        <v>103</v>
      </c>
      <c r="D109" s="2"/>
      <c r="E109" s="1"/>
      <c r="F109" s="2"/>
      <c r="G109" s="4"/>
      <c r="I109" s="2"/>
    </row>
    <row r="110" spans="3:9" x14ac:dyDescent="0.25">
      <c r="C110" s="13">
        <v>104</v>
      </c>
      <c r="D110" s="2"/>
      <c r="E110" s="1"/>
      <c r="F110" s="2"/>
      <c r="G110" s="4"/>
      <c r="I110" s="2"/>
    </row>
    <row r="111" spans="3:9" x14ac:dyDescent="0.25">
      <c r="C111" s="13">
        <v>105</v>
      </c>
      <c r="D111" s="2"/>
      <c r="E111" s="1"/>
      <c r="F111" s="2"/>
      <c r="G111" s="4"/>
      <c r="I111" s="2"/>
    </row>
    <row r="112" spans="3:9" x14ac:dyDescent="0.25">
      <c r="C112" s="13">
        <v>106</v>
      </c>
      <c r="D112" s="2"/>
      <c r="E112" s="1"/>
      <c r="F112" s="2"/>
      <c r="G112" s="4"/>
      <c r="I112" s="2"/>
    </row>
    <row r="113" spans="3:9" x14ac:dyDescent="0.25">
      <c r="C113" s="13">
        <v>107</v>
      </c>
      <c r="D113" s="2"/>
      <c r="E113" s="1"/>
      <c r="F113" s="2"/>
      <c r="G113" s="4"/>
      <c r="I113" s="2"/>
    </row>
    <row r="114" spans="3:9" x14ac:dyDescent="0.25">
      <c r="C114" s="13">
        <v>108</v>
      </c>
      <c r="D114" s="2"/>
      <c r="E114" s="1"/>
      <c r="F114" s="2"/>
      <c r="G114" s="4"/>
      <c r="I114" s="2"/>
    </row>
    <row r="115" spans="3:9" x14ac:dyDescent="0.25">
      <c r="C115" s="13">
        <v>109</v>
      </c>
      <c r="D115" s="2"/>
      <c r="E115" s="1"/>
      <c r="F115" s="2"/>
      <c r="G115" s="4"/>
      <c r="I115" s="2"/>
    </row>
    <row r="116" spans="3:9" x14ac:dyDescent="0.25">
      <c r="C116" s="13">
        <v>110</v>
      </c>
      <c r="D116" s="2"/>
      <c r="E116" s="1"/>
      <c r="F116" s="2"/>
      <c r="G116" s="4"/>
      <c r="I116" s="2"/>
    </row>
    <row r="117" spans="3:9" x14ac:dyDescent="0.25">
      <c r="C117" s="13">
        <v>111</v>
      </c>
      <c r="D117" s="2"/>
      <c r="E117" s="1"/>
      <c r="F117" s="2"/>
      <c r="G117" s="4"/>
      <c r="I117" s="2"/>
    </row>
    <row r="118" spans="3:9" x14ac:dyDescent="0.25">
      <c r="C118" s="13">
        <v>112</v>
      </c>
      <c r="D118" s="2"/>
      <c r="E118" s="1"/>
      <c r="F118" s="2"/>
      <c r="G118" s="4"/>
      <c r="I118" s="2"/>
    </row>
    <row r="119" spans="3:9" x14ac:dyDescent="0.25">
      <c r="C119" s="13">
        <v>113</v>
      </c>
      <c r="D119" s="2"/>
      <c r="E119" s="1"/>
      <c r="F119" s="2"/>
      <c r="G119" s="4"/>
      <c r="I119" s="2"/>
    </row>
    <row r="120" spans="3:9" x14ac:dyDescent="0.25">
      <c r="C120" s="13">
        <v>114</v>
      </c>
      <c r="D120" s="2"/>
      <c r="E120" s="1"/>
      <c r="F120" s="2"/>
      <c r="G120" s="4"/>
      <c r="I120" s="2"/>
    </row>
    <row r="121" spans="3:9" x14ac:dyDescent="0.25">
      <c r="C121" s="13">
        <v>115</v>
      </c>
      <c r="D121" s="2"/>
      <c r="E121" s="1"/>
      <c r="F121" s="2"/>
      <c r="G121" s="4"/>
      <c r="I121" s="2"/>
    </row>
    <row r="122" spans="3:9" x14ac:dyDescent="0.25">
      <c r="C122" s="13">
        <v>116</v>
      </c>
      <c r="D122" s="2"/>
      <c r="E122" s="1"/>
      <c r="F122" s="2"/>
      <c r="G122" s="4"/>
      <c r="I122" s="2"/>
    </row>
    <row r="123" spans="3:9" x14ac:dyDescent="0.25">
      <c r="C123" s="13">
        <v>117</v>
      </c>
      <c r="D123" s="2"/>
      <c r="E123" s="1"/>
      <c r="F123" s="2"/>
      <c r="G123" s="4"/>
      <c r="I123" s="2"/>
    </row>
    <row r="124" spans="3:9" x14ac:dyDescent="0.25">
      <c r="C124" s="13">
        <v>118</v>
      </c>
      <c r="D124" s="2"/>
      <c r="E124" s="1"/>
      <c r="F124" s="2"/>
      <c r="G124" s="4"/>
      <c r="I124" s="2"/>
    </row>
    <row r="125" spans="3:9" x14ac:dyDescent="0.25">
      <c r="C125" s="13">
        <v>119</v>
      </c>
      <c r="D125" s="2"/>
      <c r="E125" s="1"/>
      <c r="F125" s="2"/>
      <c r="G125" s="4"/>
      <c r="I125" s="2"/>
    </row>
    <row r="126" spans="3:9" x14ac:dyDescent="0.25">
      <c r="C126" s="13">
        <v>120</v>
      </c>
      <c r="D126" s="2"/>
      <c r="E126" s="1"/>
      <c r="F126" s="2"/>
      <c r="G126" s="4"/>
      <c r="I126" s="2"/>
    </row>
    <row r="127" spans="3:9" x14ac:dyDescent="0.25">
      <c r="C127" s="13">
        <v>121</v>
      </c>
      <c r="D127" s="2"/>
      <c r="E127" s="1"/>
      <c r="F127" s="2"/>
      <c r="G127" s="4"/>
      <c r="I127" s="2"/>
    </row>
    <row r="128" spans="3:9" x14ac:dyDescent="0.25">
      <c r="C128" s="13">
        <v>122</v>
      </c>
      <c r="D128" s="2"/>
      <c r="E128" s="1"/>
      <c r="F128" s="2"/>
      <c r="G128" s="4"/>
      <c r="I128" s="2"/>
    </row>
    <row r="129" spans="3:9" x14ac:dyDescent="0.25">
      <c r="C129" s="13">
        <v>123</v>
      </c>
      <c r="D129" s="2"/>
      <c r="E129" s="1"/>
      <c r="F129" s="2"/>
      <c r="G129" s="4"/>
      <c r="I129" s="2"/>
    </row>
    <row r="130" spans="3:9" x14ac:dyDescent="0.25">
      <c r="C130" s="13">
        <v>124</v>
      </c>
      <c r="D130" s="2"/>
      <c r="E130" s="1"/>
      <c r="F130" s="2"/>
      <c r="G130" s="4"/>
      <c r="I130" s="2"/>
    </row>
    <row r="131" spans="3:9" x14ac:dyDescent="0.25">
      <c r="C131" s="13">
        <v>125</v>
      </c>
      <c r="D131" s="2"/>
      <c r="E131" s="1"/>
      <c r="F131" s="2"/>
      <c r="G131" s="4"/>
      <c r="I131" s="2"/>
    </row>
    <row r="132" spans="3:9" x14ac:dyDescent="0.25">
      <c r="C132" s="13">
        <v>126</v>
      </c>
      <c r="D132" s="2"/>
      <c r="E132" s="1"/>
      <c r="F132" s="2"/>
      <c r="G132" s="4"/>
      <c r="I132" s="2"/>
    </row>
    <row r="133" spans="3:9" x14ac:dyDescent="0.25">
      <c r="C133" s="13">
        <v>127</v>
      </c>
      <c r="D133" s="2"/>
      <c r="E133" s="1"/>
      <c r="F133" s="2"/>
      <c r="G133" s="4"/>
      <c r="I133" s="2"/>
    </row>
    <row r="134" spans="3:9" x14ac:dyDescent="0.25">
      <c r="C134" s="13">
        <v>128</v>
      </c>
      <c r="D134" s="2"/>
      <c r="E134" s="1"/>
      <c r="F134" s="2"/>
      <c r="G134" s="4"/>
      <c r="I134" s="2"/>
    </row>
    <row r="135" spans="3:9" x14ac:dyDescent="0.25">
      <c r="C135" s="13">
        <v>129</v>
      </c>
      <c r="D135" s="2"/>
      <c r="E135" s="1"/>
      <c r="F135" s="2"/>
      <c r="G135" s="4"/>
      <c r="I135" s="2"/>
    </row>
    <row r="136" spans="3:9" x14ac:dyDescent="0.25">
      <c r="C136" s="13">
        <v>130</v>
      </c>
      <c r="D136" s="2"/>
      <c r="E136" s="1"/>
      <c r="F136" s="2"/>
      <c r="G136" s="4"/>
      <c r="I136" s="2"/>
    </row>
    <row r="137" spans="3:9" x14ac:dyDescent="0.25">
      <c r="C137" s="13">
        <v>131</v>
      </c>
      <c r="D137" s="2"/>
      <c r="E137" s="1"/>
      <c r="F137" s="2"/>
      <c r="G137" s="4"/>
      <c r="I137" s="2"/>
    </row>
    <row r="138" spans="3:9" x14ac:dyDescent="0.25">
      <c r="C138" s="13">
        <v>132</v>
      </c>
      <c r="D138" s="2"/>
      <c r="E138" s="1"/>
      <c r="F138" s="2"/>
      <c r="G138" s="4"/>
      <c r="I138" s="2"/>
    </row>
    <row r="139" spans="3:9" x14ac:dyDescent="0.25">
      <c r="C139" s="13">
        <v>133</v>
      </c>
      <c r="D139" s="2"/>
      <c r="E139" s="1"/>
      <c r="F139" s="2"/>
      <c r="G139" s="4"/>
      <c r="I139" s="2"/>
    </row>
    <row r="140" spans="3:9" x14ac:dyDescent="0.25">
      <c r="C140" s="13">
        <v>134</v>
      </c>
      <c r="D140" s="2"/>
      <c r="E140" s="1"/>
      <c r="F140" s="2"/>
      <c r="G140" s="4"/>
      <c r="I140" s="2"/>
    </row>
    <row r="141" spans="3:9" x14ac:dyDescent="0.25">
      <c r="C141" s="13">
        <v>135</v>
      </c>
      <c r="D141" s="2"/>
      <c r="E141" s="1"/>
      <c r="F141" s="2"/>
      <c r="G141" s="4"/>
      <c r="I141" s="2"/>
    </row>
    <row r="142" spans="3:9" x14ac:dyDescent="0.25">
      <c r="C142" s="13">
        <v>136</v>
      </c>
      <c r="D142" s="2"/>
      <c r="E142" s="1"/>
      <c r="F142" s="2"/>
      <c r="G142" s="4"/>
      <c r="I142" s="2"/>
    </row>
    <row r="143" spans="3:9" x14ac:dyDescent="0.25">
      <c r="C143" s="13">
        <v>137</v>
      </c>
      <c r="D143" s="2"/>
      <c r="E143" s="1"/>
      <c r="F143" s="2"/>
      <c r="G143" s="4"/>
      <c r="I143" s="2"/>
    </row>
    <row r="144" spans="3:9" x14ac:dyDescent="0.25">
      <c r="C144" s="13">
        <v>138</v>
      </c>
      <c r="D144" s="2"/>
      <c r="E144" s="1"/>
      <c r="F144" s="2"/>
      <c r="G144" s="4"/>
      <c r="I144" s="2"/>
    </row>
    <row r="145" spans="3:9" x14ac:dyDescent="0.25">
      <c r="C145" s="13">
        <v>139</v>
      </c>
      <c r="D145" s="2"/>
      <c r="E145" s="1"/>
      <c r="F145" s="2"/>
      <c r="G145" s="4"/>
      <c r="I145" s="2"/>
    </row>
    <row r="146" spans="3:9" x14ac:dyDescent="0.25">
      <c r="C146" s="13">
        <v>140</v>
      </c>
      <c r="D146" s="2"/>
      <c r="E146" s="1"/>
      <c r="F146" s="2"/>
      <c r="G146" s="4"/>
      <c r="I146" s="2"/>
    </row>
    <row r="147" spans="3:9" x14ac:dyDescent="0.25">
      <c r="C147" s="13">
        <v>141</v>
      </c>
      <c r="D147" s="2"/>
      <c r="E147" s="1"/>
      <c r="F147" s="2"/>
      <c r="G147" s="4"/>
      <c r="I147" s="2"/>
    </row>
    <row r="148" spans="3:9" x14ac:dyDescent="0.25">
      <c r="C148" s="13">
        <v>142</v>
      </c>
      <c r="D148" s="2"/>
      <c r="E148" s="1"/>
      <c r="F148" s="2"/>
      <c r="G148" s="4"/>
      <c r="I148" s="2"/>
    </row>
    <row r="149" spans="3:9" x14ac:dyDescent="0.25">
      <c r="C149" s="13">
        <v>143</v>
      </c>
      <c r="D149" s="2"/>
      <c r="E149" s="1"/>
      <c r="F149" s="2"/>
      <c r="G149" s="4"/>
      <c r="I149" s="2"/>
    </row>
    <row r="150" spans="3:9" x14ac:dyDescent="0.25">
      <c r="C150" s="13">
        <v>144</v>
      </c>
      <c r="D150" s="2"/>
      <c r="E150" s="1"/>
      <c r="F150" s="2"/>
      <c r="G150" s="4"/>
      <c r="I150" s="2"/>
    </row>
    <row r="151" spans="3:9" x14ac:dyDescent="0.25">
      <c r="C151" s="13">
        <v>145</v>
      </c>
      <c r="D151" s="2"/>
      <c r="E151" s="1"/>
      <c r="F151" s="2"/>
      <c r="G151" s="4"/>
      <c r="I151" s="2"/>
    </row>
    <row r="152" spans="3:9" x14ac:dyDescent="0.25">
      <c r="C152" s="13">
        <v>146</v>
      </c>
      <c r="D152" s="2"/>
      <c r="E152" s="1"/>
      <c r="F152" s="2"/>
      <c r="G152" s="4"/>
      <c r="I152" s="2"/>
    </row>
    <row r="153" spans="3:9" x14ac:dyDescent="0.25">
      <c r="C153" s="13">
        <v>147</v>
      </c>
      <c r="D153" s="2"/>
      <c r="E153" s="1"/>
      <c r="F153" s="2"/>
      <c r="G153" s="4"/>
      <c r="I153" s="2"/>
    </row>
    <row r="154" spans="3:9" x14ac:dyDescent="0.25">
      <c r="C154" s="13">
        <v>148</v>
      </c>
      <c r="D154" s="2"/>
      <c r="E154" s="1"/>
      <c r="F154" s="2"/>
      <c r="G154" s="4"/>
      <c r="I154" s="2"/>
    </row>
    <row r="155" spans="3:9" x14ac:dyDescent="0.25">
      <c r="C155" s="13">
        <v>149</v>
      </c>
      <c r="D155" s="2"/>
      <c r="E155" s="1"/>
      <c r="F155" s="2"/>
      <c r="G155" s="4"/>
      <c r="I155" s="2"/>
    </row>
    <row r="156" spans="3:9" x14ac:dyDescent="0.25">
      <c r="C156" s="13">
        <v>150</v>
      </c>
      <c r="D156" s="2"/>
      <c r="E156" s="1"/>
      <c r="F156" s="2"/>
      <c r="G156" s="4"/>
      <c r="I156" s="2"/>
    </row>
    <row r="157" spans="3:9" x14ac:dyDescent="0.25">
      <c r="C157" s="13">
        <v>151</v>
      </c>
      <c r="D157" s="2"/>
      <c r="E157" s="1"/>
      <c r="F157" s="2"/>
      <c r="G157" s="4"/>
      <c r="I157" s="2"/>
    </row>
    <row r="158" spans="3:9" x14ac:dyDescent="0.25">
      <c r="C158" s="13">
        <v>152</v>
      </c>
      <c r="D158" s="2"/>
      <c r="E158" s="1"/>
      <c r="F158" s="2"/>
      <c r="G158" s="4"/>
      <c r="I158" s="2"/>
    </row>
    <row r="159" spans="3:9" x14ac:dyDescent="0.25">
      <c r="C159" s="13">
        <v>153</v>
      </c>
      <c r="D159" s="2"/>
      <c r="E159" s="1"/>
      <c r="F159" s="2"/>
      <c r="G159" s="4"/>
      <c r="I159" s="2"/>
    </row>
    <row r="160" spans="3:9" x14ac:dyDescent="0.25">
      <c r="C160" s="13">
        <v>154</v>
      </c>
      <c r="D160" s="2"/>
      <c r="E160" s="1"/>
      <c r="F160" s="2"/>
      <c r="G160" s="4"/>
      <c r="I160" s="2"/>
    </row>
    <row r="161" spans="3:9" x14ac:dyDescent="0.25">
      <c r="C161" s="13">
        <v>155</v>
      </c>
      <c r="D161" s="2"/>
      <c r="E161" s="1"/>
      <c r="F161" s="2"/>
      <c r="G161" s="4"/>
      <c r="I161" s="2"/>
    </row>
    <row r="162" spans="3:9" x14ac:dyDescent="0.25">
      <c r="C162" s="13">
        <v>156</v>
      </c>
      <c r="D162" s="2"/>
      <c r="E162" s="1"/>
      <c r="F162" s="2"/>
      <c r="G162" s="4"/>
      <c r="I162" s="2"/>
    </row>
    <row r="163" spans="3:9" x14ac:dyDescent="0.25">
      <c r="C163" s="13">
        <v>157</v>
      </c>
      <c r="D163" s="2"/>
      <c r="E163" s="1"/>
      <c r="F163" s="2"/>
      <c r="G163" s="4"/>
      <c r="I163" s="2"/>
    </row>
    <row r="164" spans="3:9" x14ac:dyDescent="0.25">
      <c r="C164" s="13">
        <v>158</v>
      </c>
      <c r="D164" s="2"/>
      <c r="E164" s="1"/>
      <c r="F164" s="2"/>
      <c r="G164" s="4"/>
      <c r="I164" s="2"/>
    </row>
    <row r="165" spans="3:9" x14ac:dyDescent="0.25">
      <c r="C165" s="13">
        <v>159</v>
      </c>
      <c r="D165" s="2"/>
      <c r="E165" s="1"/>
      <c r="F165" s="2"/>
      <c r="G165" s="4"/>
      <c r="I165" s="2"/>
    </row>
    <row r="166" spans="3:9" x14ac:dyDescent="0.25">
      <c r="C166" s="13">
        <v>160</v>
      </c>
      <c r="D166" s="2"/>
      <c r="E166" s="1"/>
      <c r="F166" s="2"/>
      <c r="G166" s="4"/>
      <c r="I166" s="2"/>
    </row>
    <row r="167" spans="3:9" x14ac:dyDescent="0.25">
      <c r="C167" s="13">
        <v>161</v>
      </c>
      <c r="D167" s="2"/>
      <c r="E167" s="1"/>
      <c r="F167" s="2"/>
      <c r="G167" s="4"/>
      <c r="I167" s="2"/>
    </row>
    <row r="168" spans="3:9" x14ac:dyDescent="0.25">
      <c r="C168" s="13">
        <v>162</v>
      </c>
      <c r="D168" s="2"/>
      <c r="E168" s="1"/>
      <c r="F168" s="2"/>
      <c r="G168" s="4"/>
      <c r="I168" s="2"/>
    </row>
    <row r="169" spans="3:9" x14ac:dyDescent="0.25">
      <c r="C169" s="13">
        <v>163</v>
      </c>
      <c r="D169" s="2"/>
      <c r="E169" s="1"/>
      <c r="F169" s="2"/>
      <c r="G169" s="4"/>
      <c r="I169" s="2"/>
    </row>
    <row r="170" spans="3:9" x14ac:dyDescent="0.25">
      <c r="C170" s="13">
        <v>164</v>
      </c>
      <c r="D170" s="2"/>
      <c r="E170" s="1"/>
      <c r="F170" s="2"/>
      <c r="G170" s="4"/>
      <c r="I170" s="2"/>
    </row>
    <row r="171" spans="3:9" x14ac:dyDescent="0.25">
      <c r="C171" s="13">
        <v>165</v>
      </c>
      <c r="D171" s="2"/>
      <c r="E171" s="1"/>
      <c r="F171" s="2"/>
      <c r="G171" s="4"/>
      <c r="I171" s="2"/>
    </row>
    <row r="172" spans="3:9" x14ac:dyDescent="0.25">
      <c r="C172" s="13">
        <v>166</v>
      </c>
      <c r="D172" s="2"/>
      <c r="E172" s="1"/>
      <c r="F172" s="2"/>
      <c r="G172" s="4"/>
      <c r="I172" s="2"/>
    </row>
    <row r="173" spans="3:9" x14ac:dyDescent="0.25">
      <c r="C173" s="13">
        <v>167</v>
      </c>
      <c r="D173" s="2"/>
      <c r="E173" s="1"/>
      <c r="F173" s="2"/>
      <c r="G173" s="4"/>
      <c r="I173" s="2"/>
    </row>
    <row r="174" spans="3:9" x14ac:dyDescent="0.25">
      <c r="C174" s="13">
        <v>168</v>
      </c>
      <c r="D174" s="2"/>
      <c r="E174" s="1"/>
      <c r="F174" s="2"/>
      <c r="G174" s="4"/>
      <c r="I174" s="2"/>
    </row>
    <row r="175" spans="3:9" x14ac:dyDescent="0.25">
      <c r="C175" s="13">
        <v>169</v>
      </c>
      <c r="D175" s="2"/>
      <c r="E175" s="1"/>
      <c r="F175" s="2"/>
      <c r="G175" s="4"/>
      <c r="I175" s="2"/>
    </row>
    <row r="176" spans="3:9" x14ac:dyDescent="0.25">
      <c r="C176" s="13">
        <v>170</v>
      </c>
      <c r="D176" s="2"/>
      <c r="E176" s="1"/>
      <c r="F176" s="2"/>
      <c r="G176" s="4"/>
      <c r="I176" s="2"/>
    </row>
    <row r="177" spans="3:9" x14ac:dyDescent="0.25">
      <c r="C177" s="13">
        <v>171</v>
      </c>
      <c r="D177" s="2"/>
      <c r="E177" s="1"/>
      <c r="F177" s="2"/>
      <c r="G177" s="4"/>
      <c r="I177" s="2"/>
    </row>
    <row r="178" spans="3:9" x14ac:dyDescent="0.25">
      <c r="C178" s="13">
        <v>172</v>
      </c>
      <c r="D178" s="2"/>
      <c r="E178" s="1"/>
      <c r="F178" s="2"/>
      <c r="G178" s="4"/>
      <c r="I178" s="2"/>
    </row>
    <row r="179" spans="3:9" x14ac:dyDescent="0.25">
      <c r="C179" s="13">
        <v>173</v>
      </c>
      <c r="D179" s="2"/>
      <c r="E179" s="1"/>
      <c r="F179" s="2"/>
      <c r="G179" s="4"/>
      <c r="I179" s="2"/>
    </row>
    <row r="180" spans="3:9" x14ac:dyDescent="0.25">
      <c r="C180" s="13">
        <v>174</v>
      </c>
      <c r="D180" s="2"/>
      <c r="E180" s="1"/>
      <c r="F180" s="2"/>
      <c r="G180" s="4"/>
      <c r="I180" s="2"/>
    </row>
    <row r="181" spans="3:9" x14ac:dyDescent="0.25">
      <c r="C181" s="13">
        <v>175</v>
      </c>
      <c r="D181" s="2"/>
      <c r="E181" s="1"/>
      <c r="F181" s="2"/>
      <c r="G181" s="4"/>
      <c r="I181" s="2"/>
    </row>
    <row r="182" spans="3:9" x14ac:dyDescent="0.25">
      <c r="C182" s="13">
        <v>176</v>
      </c>
      <c r="D182" s="2"/>
      <c r="E182" s="1"/>
      <c r="F182" s="2"/>
      <c r="G182" s="4"/>
      <c r="I182" s="2"/>
    </row>
    <row r="183" spans="3:9" x14ac:dyDescent="0.25">
      <c r="C183" s="13">
        <v>177</v>
      </c>
      <c r="D183" s="2"/>
      <c r="E183" s="1"/>
      <c r="F183" s="2"/>
      <c r="G183" s="4"/>
      <c r="I183" s="2"/>
    </row>
    <row r="184" spans="3:9" x14ac:dyDescent="0.25">
      <c r="C184" s="13">
        <v>178</v>
      </c>
      <c r="D184" s="2"/>
      <c r="E184" s="1"/>
      <c r="F184" s="2"/>
      <c r="G184" s="4"/>
      <c r="I184" s="2"/>
    </row>
    <row r="185" spans="3:9" x14ac:dyDescent="0.25">
      <c r="C185" s="13">
        <v>179</v>
      </c>
      <c r="D185" s="2"/>
      <c r="E185" s="1"/>
      <c r="F185" s="2"/>
      <c r="G185" s="4"/>
      <c r="I185" s="2"/>
    </row>
    <row r="186" spans="3:9" x14ac:dyDescent="0.25">
      <c r="C186" s="13">
        <v>180</v>
      </c>
      <c r="D186" s="2"/>
      <c r="E186" s="1"/>
      <c r="F186" s="2"/>
      <c r="G186" s="4"/>
      <c r="I186" s="2"/>
    </row>
    <row r="187" spans="3:9" x14ac:dyDescent="0.25">
      <c r="D187" s="2"/>
      <c r="E187" s="2">
        <f>SUM(E7:E186)</f>
        <v>36414385.097012214</v>
      </c>
      <c r="I187" s="2">
        <f>SUM(I7:I186)</f>
        <v>86414385.097012356</v>
      </c>
    </row>
  </sheetData>
  <mergeCells count="2">
    <mergeCell ref="A5:B5"/>
    <mergeCell ref="D5:F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Fray Leon Osorio Rivera</dc:creator>
  <cp:lastModifiedBy>FRAY LEON OSORIO RIVERA</cp:lastModifiedBy>
  <dcterms:created xsi:type="dcterms:W3CDTF">2025-09-10T01:36:10Z</dcterms:created>
  <dcterms:modified xsi:type="dcterms:W3CDTF">2026-03-25T02:26:38Z</dcterms:modified>
</cp:coreProperties>
</file>